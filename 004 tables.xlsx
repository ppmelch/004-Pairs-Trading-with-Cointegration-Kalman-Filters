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pmel\Documentos\ITESO 7mo Semestre\004-Kalman-Filter-Implementation\"/>
    </mc:Choice>
  </mc:AlternateContent>
  <xr:revisionPtr revIDLastSave="0" documentId="13_ncr:1_{162142D3-7CFF-4CD0-9B80-61F634CCC204}" xr6:coauthVersionLast="47" xr6:coauthVersionMax="47" xr10:uidLastSave="{00000000-0000-0000-0000-000000000000}"/>
  <bookViews>
    <workbookView xWindow="-98" yWindow="-98" windowWidth="21795" windowHeight="12975" xr2:uid="{920A4843-AD7D-4180-9CF4-44E3616DB8A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5" i="1" l="1"/>
  <c r="T12" i="1"/>
</calcChain>
</file>

<file path=xl/sharedStrings.xml><?xml version="1.0" encoding="utf-8"?>
<sst xmlns="http://schemas.openxmlformats.org/spreadsheetml/2006/main" count="124" uniqueCount="57">
  <si>
    <t>PAIR SELECTION</t>
  </si>
  <si>
    <t>Asset1</t>
  </si>
  <si>
    <t>Asset2</t>
  </si>
  <si>
    <t>Correlation</t>
  </si>
  <si>
    <t>ADF_pvalue</t>
  </si>
  <si>
    <t>ADF_Cointegrated</t>
  </si>
  <si>
    <t>Johansen_stat</t>
  </si>
  <si>
    <t>Johansen_crit_95</t>
  </si>
  <si>
    <t>Johansen_Cointegrated</t>
  </si>
  <si>
    <t>Johansen_strength</t>
  </si>
  <si>
    <t>PFE</t>
  </si>
  <si>
    <t>BA</t>
  </si>
  <si>
    <t>TRUE</t>
  </si>
  <si>
    <t>ABBV</t>
  </si>
  <si>
    <t>CAT</t>
  </si>
  <si>
    <t>JNJ</t>
  </si>
  <si>
    <t>HON</t>
  </si>
  <si>
    <t>GOOGL</t>
  </si>
  <si>
    <t>HD</t>
  </si>
  <si>
    <t>MSFT</t>
  </si>
  <si>
    <t>TMO</t>
  </si>
  <si>
    <t>GS</t>
  </si>
  <si>
    <t>TRAIN METRICS</t>
  </si>
  <si>
    <t>Metric</t>
  </si>
  <si>
    <t>Value</t>
  </si>
  <si>
    <t>Sharpe Ratio</t>
  </si>
  <si>
    <t>Sortino Ratio</t>
  </si>
  <si>
    <t>Maximum Drawdown</t>
  </si>
  <si>
    <t>Calmar Ratio</t>
  </si>
  <si>
    <t>TEST METRICS</t>
  </si>
  <si>
    <t># Trades</t>
  </si>
  <si>
    <t>Avg Win</t>
  </si>
  <si>
    <t>TRAIN -TRADE STATISTICS</t>
  </si>
  <si>
    <t>TEST -TRADE STATISTICS</t>
  </si>
  <si>
    <t>VALIDATION -TRADE STATISTICS</t>
  </si>
  <si>
    <t>VALIDATION METRICS</t>
  </si>
  <si>
    <t>Profit ($)</t>
  </si>
  <si>
    <t>Return (%)</t>
  </si>
  <si>
    <t>Win Rate (%)</t>
  </si>
  <si>
    <t>Initial Capital</t>
  </si>
  <si>
    <t>Final Capital</t>
  </si>
  <si>
    <t>TRAIN PORTFOLIO VALUE</t>
  </si>
  <si>
    <t>TEST PORTFOLIO VALUE</t>
  </si>
  <si>
    <t>VALIDATION PORTFOLIO VALUE</t>
  </si>
  <si>
    <t>Borrow Cost</t>
  </si>
  <si>
    <t>Commision Cost</t>
  </si>
  <si>
    <t>Avg Loss</t>
  </si>
  <si>
    <t xml:space="preserve">Buy </t>
  </si>
  <si>
    <t>Sell</t>
  </si>
  <si>
    <t>Hold</t>
  </si>
  <si>
    <t>Eigenvector_1</t>
  </si>
  <si>
    <t>Eigenvector_2</t>
  </si>
  <si>
    <t>Beta1_norm</t>
  </si>
  <si>
    <t>Beta2_norm</t>
  </si>
  <si>
    <t>AMZN</t>
  </si>
  <si>
    <t>LOW</t>
  </si>
  <si>
    <t>AMD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</si>
</sst>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73" formatCode="0.00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0">
    <xf numFmtId="0" fontId="0" fillId="0" borderId="0" xfId="0"/>
    <xf numFmtId="0" fontId="0" fillId="2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4" borderId="0" xfId="0" applyFill="1"/>
    <xf numFmtId="0" fontId="0" fillId="2" borderId="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10" fontId="0" fillId="4" borderId="15" xfId="2" applyNumberFormat="1" applyFont="1" applyFill="1" applyBorder="1" applyAlignment="1">
      <alignment horizontal="center"/>
    </xf>
    <xf numFmtId="44" fontId="0" fillId="4" borderId="14" xfId="1" applyFont="1" applyFill="1" applyBorder="1" applyAlignment="1">
      <alignment horizontal="center"/>
    </xf>
    <xf numFmtId="44" fontId="0" fillId="0" borderId="0" xfId="0" applyNumberFormat="1"/>
    <xf numFmtId="44" fontId="0" fillId="4" borderId="14" xfId="0" applyNumberFormat="1" applyFill="1" applyBorder="1" applyAlignment="1">
      <alignment horizontal="center"/>
    </xf>
    <xf numFmtId="44" fontId="0" fillId="4" borderId="15" xfId="1" applyFont="1" applyFill="1" applyBorder="1" applyAlignment="1">
      <alignment horizontal="center"/>
    </xf>
    <xf numFmtId="10" fontId="0" fillId="4" borderId="15" xfId="0" applyNumberFormat="1" applyFill="1" applyBorder="1" applyAlignment="1">
      <alignment horizontal="center"/>
    </xf>
    <xf numFmtId="0" fontId="3" fillId="0" borderId="0" xfId="0" applyFont="1"/>
    <xf numFmtId="0" fontId="0" fillId="0" borderId="0" xfId="0"/>
    <xf numFmtId="173" fontId="0" fillId="4" borderId="15" xfId="2" applyNumberFormat="1" applyFont="1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0" borderId="0" xfId="0"/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9BC-04EA-4923-93C9-091C57CFB12F}">
  <dimension ref="B2:AB27"/>
  <sheetViews>
    <sheetView tabSelected="1" zoomScale="75" zoomScaleNormal="80" workbookViewId="0">
      <selection activeCell="Z22" sqref="Z22"/>
    </sheetView>
  </sheetViews>
  <sheetFormatPr baseColWidth="10" defaultRowHeight="14.25" x14ac:dyDescent="0.45"/>
  <cols>
    <col min="2" max="2" width="8.9296875" customWidth="1"/>
    <col min="3" max="3" width="10.6640625" customWidth="1"/>
    <col min="4" max="4" width="12.73046875" customWidth="1"/>
    <col min="5" max="5" width="13.06640625" customWidth="1"/>
    <col min="6" max="6" width="15.86328125" customWidth="1"/>
    <col min="7" max="7" width="16.06640625" customWidth="1"/>
    <col min="8" max="8" width="15.265625" customWidth="1"/>
    <col min="9" max="9" width="20.53125" customWidth="1"/>
    <col min="10" max="10" width="18.46484375" customWidth="1"/>
    <col min="11" max="11" width="14.73046875" customWidth="1"/>
    <col min="12" max="12" width="14.46484375" style="33" customWidth="1"/>
    <col min="13" max="13" width="13.796875" style="33" customWidth="1"/>
    <col min="14" max="14" width="17.86328125" style="33" customWidth="1"/>
    <col min="15" max="18" width="10.6640625" style="33"/>
    <col min="19" max="19" width="20" customWidth="1"/>
    <col min="20" max="20" width="16.1328125" customWidth="1"/>
    <col min="21" max="21" width="12" bestFit="1" customWidth="1"/>
    <col min="22" max="22" width="20.9296875" customWidth="1"/>
    <col min="23" max="23" width="15.3984375" customWidth="1"/>
    <col min="25" max="25" width="20.53125" customWidth="1"/>
    <col min="26" max="26" width="15.1328125" customWidth="1"/>
  </cols>
  <sheetData>
    <row r="2" spans="2:26" ht="14.65" thickBot="1" x14ac:dyDescent="0.5">
      <c r="U2" s="28"/>
    </row>
    <row r="3" spans="2:26" ht="14.65" thickBot="1" x14ac:dyDescent="0.5">
      <c r="B3" s="23" t="s">
        <v>0</v>
      </c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4"/>
    </row>
    <row r="4" spans="2:26" ht="14.65" thickBot="1" x14ac:dyDescent="0.5">
      <c r="B4" s="3" t="s">
        <v>1</v>
      </c>
      <c r="C4" s="4" t="s">
        <v>2</v>
      </c>
      <c r="D4" s="5" t="s">
        <v>3</v>
      </c>
      <c r="E4" s="4" t="s">
        <v>4</v>
      </c>
      <c r="F4" s="5" t="s">
        <v>5</v>
      </c>
      <c r="G4" s="4" t="s">
        <v>6</v>
      </c>
      <c r="H4" s="5" t="s">
        <v>7</v>
      </c>
      <c r="I4" s="4" t="s">
        <v>8</v>
      </c>
      <c r="J4" s="5" t="s">
        <v>50</v>
      </c>
      <c r="K4" s="4" t="s">
        <v>51</v>
      </c>
      <c r="L4" s="5" t="s">
        <v>52</v>
      </c>
      <c r="M4" s="4" t="s">
        <v>53</v>
      </c>
      <c r="N4" s="6" t="s">
        <v>9</v>
      </c>
    </row>
    <row r="5" spans="2:26" ht="14.65" thickBot="1" x14ac:dyDescent="0.5">
      <c r="B5" s="10" t="s">
        <v>10</v>
      </c>
      <c r="C5" s="11" t="s">
        <v>11</v>
      </c>
      <c r="D5" s="12">
        <v>0.82245400000000002</v>
      </c>
      <c r="E5" s="11">
        <v>2.6459999999999999E-3</v>
      </c>
      <c r="F5" s="11" t="s">
        <v>12</v>
      </c>
      <c r="G5" s="11">
        <v>16.341964000000001</v>
      </c>
      <c r="H5" s="12">
        <v>15.494300000000001</v>
      </c>
      <c r="I5" s="11" t="s">
        <v>12</v>
      </c>
      <c r="J5" s="12">
        <v>0.43406800000000001</v>
      </c>
      <c r="K5" s="11">
        <v>-1.3795999999999999E-2</v>
      </c>
      <c r="L5" s="12">
        <v>-31.463381999999999</v>
      </c>
      <c r="M5" s="11">
        <v>1</v>
      </c>
      <c r="N5" s="13">
        <v>0.84766399999999997</v>
      </c>
      <c r="S5" s="23" t="s">
        <v>41</v>
      </c>
      <c r="T5" s="24"/>
      <c r="V5" s="23" t="s">
        <v>42</v>
      </c>
      <c r="W5" s="24"/>
      <c r="Y5" s="23" t="s">
        <v>43</v>
      </c>
      <c r="Z5" s="24"/>
    </row>
    <row r="6" spans="2:26" x14ac:dyDescent="0.45">
      <c r="B6" s="14" t="s">
        <v>13</v>
      </c>
      <c r="C6" s="15" t="s">
        <v>14</v>
      </c>
      <c r="D6" s="35">
        <v>0.82575600000000005</v>
      </c>
      <c r="E6" s="15">
        <v>5.6899999999999997E-3</v>
      </c>
      <c r="F6" s="15" t="s">
        <v>12</v>
      </c>
      <c r="G6" s="15">
        <v>15.781355</v>
      </c>
      <c r="H6" s="35">
        <v>15.494300000000001</v>
      </c>
      <c r="I6" s="15" t="s">
        <v>12</v>
      </c>
      <c r="J6" s="35">
        <v>9.6196000000000004E-2</v>
      </c>
      <c r="K6" s="15">
        <v>-6.0082000000000003E-2</v>
      </c>
      <c r="L6" s="35">
        <v>-1.6010819999999999</v>
      </c>
      <c r="M6" s="15">
        <v>1</v>
      </c>
      <c r="N6" s="16">
        <v>0.287055</v>
      </c>
      <c r="S6" s="14" t="s">
        <v>39</v>
      </c>
      <c r="T6" s="27">
        <v>1000000</v>
      </c>
      <c r="V6" s="14" t="s">
        <v>39</v>
      </c>
      <c r="W6" s="27">
        <v>1000000</v>
      </c>
      <c r="Y6" s="14" t="s">
        <v>39</v>
      </c>
      <c r="Z6" s="27">
        <v>1538861</v>
      </c>
    </row>
    <row r="7" spans="2:26" x14ac:dyDescent="0.45">
      <c r="B7" s="14" t="s">
        <v>54</v>
      </c>
      <c r="C7" s="15" t="s">
        <v>55</v>
      </c>
      <c r="D7" s="35">
        <v>0.93362000000000001</v>
      </c>
      <c r="E7" s="15">
        <v>6.2940000000000001E-3</v>
      </c>
      <c r="F7" s="15" t="s">
        <v>12</v>
      </c>
      <c r="G7" s="15">
        <v>16.684159000000001</v>
      </c>
      <c r="H7" s="35">
        <v>15.494300000000001</v>
      </c>
      <c r="I7" s="15" t="s">
        <v>12</v>
      </c>
      <c r="J7" s="35">
        <v>7.6033000000000003E-2</v>
      </c>
      <c r="K7" s="15">
        <v>-9.9863999999999994E-2</v>
      </c>
      <c r="L7" s="35">
        <v>-0.76136400000000004</v>
      </c>
      <c r="M7" s="15">
        <v>1</v>
      </c>
      <c r="N7" s="16">
        <v>1.189859</v>
      </c>
      <c r="S7" s="14" t="s">
        <v>40</v>
      </c>
      <c r="T7" s="27">
        <v>881509.97</v>
      </c>
      <c r="V7" s="14" t="s">
        <v>40</v>
      </c>
      <c r="W7" s="27">
        <v>1538861</v>
      </c>
      <c r="Y7" s="14" t="s">
        <v>40</v>
      </c>
      <c r="Z7" s="27">
        <v>2077107</v>
      </c>
    </row>
    <row r="8" spans="2:26" ht="14.65" thickBot="1" x14ac:dyDescent="0.5">
      <c r="B8" s="14" t="s">
        <v>15</v>
      </c>
      <c r="C8" s="15" t="s">
        <v>16</v>
      </c>
      <c r="D8" s="35">
        <v>0.92437100000000005</v>
      </c>
      <c r="E8" s="15">
        <v>8.352E-3</v>
      </c>
      <c r="F8" s="15" t="s">
        <v>12</v>
      </c>
      <c r="G8" s="15">
        <v>16.717766999999998</v>
      </c>
      <c r="H8" s="35">
        <v>15.494300000000001</v>
      </c>
      <c r="I8" s="15" t="s">
        <v>12</v>
      </c>
      <c r="J8" s="35">
        <v>0.12947400000000001</v>
      </c>
      <c r="K8" s="15">
        <v>-8.2418000000000005E-2</v>
      </c>
      <c r="L8" s="35">
        <v>-1.5709470000000001</v>
      </c>
      <c r="M8" s="15">
        <v>1</v>
      </c>
      <c r="N8" s="16">
        <v>1.2234670000000001</v>
      </c>
      <c r="S8" s="17" t="s">
        <v>37</v>
      </c>
      <c r="T8" s="26">
        <v>-0.11849999999999999</v>
      </c>
      <c r="V8" s="17" t="s">
        <v>37</v>
      </c>
      <c r="W8" s="31">
        <v>0.53890000000000005</v>
      </c>
      <c r="Y8" s="17" t="s">
        <v>37</v>
      </c>
      <c r="Z8" s="31">
        <v>0.3498</v>
      </c>
    </row>
    <row r="9" spans="2:26" ht="14.65" thickBot="1" x14ac:dyDescent="0.5">
      <c r="B9" s="19" t="s">
        <v>17</v>
      </c>
      <c r="C9" s="39" t="s">
        <v>18</v>
      </c>
      <c r="D9" s="8">
        <v>0.97917299999999996</v>
      </c>
      <c r="E9" s="7">
        <v>1.0406E-2</v>
      </c>
      <c r="F9" s="7" t="s">
        <v>12</v>
      </c>
      <c r="G9" s="7">
        <v>22.095528000000002</v>
      </c>
      <c r="H9" s="8">
        <v>15.494300000000001</v>
      </c>
      <c r="I9" s="7" t="s">
        <v>12</v>
      </c>
      <c r="J9" s="8">
        <v>0.31404599999999999</v>
      </c>
      <c r="K9" s="7">
        <v>-8.8092000000000004E-2</v>
      </c>
      <c r="L9" s="8">
        <v>-3.5649709999999999</v>
      </c>
      <c r="M9" s="7">
        <v>1</v>
      </c>
      <c r="N9" s="9">
        <v>6.6012279999999999</v>
      </c>
    </row>
    <row r="10" spans="2:26" ht="14.65" thickBot="1" x14ac:dyDescent="0.5">
      <c r="B10" s="14" t="s">
        <v>20</v>
      </c>
      <c r="C10" s="15" t="s">
        <v>55</v>
      </c>
      <c r="D10" s="35">
        <v>0.94392600000000004</v>
      </c>
      <c r="E10" s="15">
        <v>1.2147E-2</v>
      </c>
      <c r="F10" s="15" t="s">
        <v>12</v>
      </c>
      <c r="G10" s="15">
        <v>15.703646000000001</v>
      </c>
      <c r="H10" s="35">
        <v>15.494300000000001</v>
      </c>
      <c r="I10" s="15" t="s">
        <v>12</v>
      </c>
      <c r="J10" s="35">
        <v>3.6814E-2</v>
      </c>
      <c r="K10" s="15">
        <v>-0.113524</v>
      </c>
      <c r="L10" s="35">
        <v>-0.32428400000000002</v>
      </c>
      <c r="M10" s="15">
        <v>1</v>
      </c>
      <c r="N10" s="16">
        <v>0.209346</v>
      </c>
      <c r="S10" s="23" t="s">
        <v>22</v>
      </c>
      <c r="T10" s="24"/>
      <c r="V10" s="23" t="s">
        <v>29</v>
      </c>
      <c r="W10" s="24"/>
      <c r="Y10" s="23" t="s">
        <v>35</v>
      </c>
      <c r="Z10" s="24"/>
    </row>
    <row r="11" spans="2:26" ht="14.65" thickBot="1" x14ac:dyDescent="0.5">
      <c r="B11" s="14" t="s">
        <v>17</v>
      </c>
      <c r="C11" s="15" t="s">
        <v>15</v>
      </c>
      <c r="D11" s="35">
        <v>0.93024700000000005</v>
      </c>
      <c r="E11" s="15">
        <v>1.2409999999999999E-2</v>
      </c>
      <c r="F11" s="15" t="s">
        <v>12</v>
      </c>
      <c r="G11" s="15">
        <v>18.711338999999999</v>
      </c>
      <c r="H11" s="35">
        <v>15.494300000000001</v>
      </c>
      <c r="I11" s="15" t="s">
        <v>12</v>
      </c>
      <c r="J11" s="35">
        <v>0.15828400000000001</v>
      </c>
      <c r="K11" s="15">
        <v>-0.134662</v>
      </c>
      <c r="L11" s="35">
        <v>-1.175416</v>
      </c>
      <c r="M11" s="15">
        <v>1</v>
      </c>
      <c r="N11" s="16">
        <v>3.2170390000000002</v>
      </c>
      <c r="S11" s="21" t="s">
        <v>23</v>
      </c>
      <c r="T11" s="22" t="s">
        <v>24</v>
      </c>
      <c r="V11" s="1" t="s">
        <v>23</v>
      </c>
      <c r="W11" s="2" t="s">
        <v>24</v>
      </c>
      <c r="Y11" s="1" t="s">
        <v>23</v>
      </c>
      <c r="Z11" s="2" t="s">
        <v>24</v>
      </c>
    </row>
    <row r="12" spans="2:26" x14ac:dyDescent="0.45">
      <c r="B12" s="14" t="s">
        <v>19</v>
      </c>
      <c r="C12" s="15" t="s">
        <v>20</v>
      </c>
      <c r="D12" s="35">
        <v>0.98962499999999998</v>
      </c>
      <c r="E12" s="15">
        <v>1.3112E-2</v>
      </c>
      <c r="F12" s="15" t="s">
        <v>12</v>
      </c>
      <c r="G12" s="15">
        <v>25.437892999999999</v>
      </c>
      <c r="H12" s="35">
        <v>15.494300000000001</v>
      </c>
      <c r="I12" s="15" t="s">
        <v>12</v>
      </c>
      <c r="J12" s="35">
        <v>0.14650199999999999</v>
      </c>
      <c r="K12" s="15">
        <v>-8.1119999999999998E-2</v>
      </c>
      <c r="L12" s="35">
        <v>-1.8059829999999999</v>
      </c>
      <c r="M12" s="15">
        <v>1</v>
      </c>
      <c r="N12" s="16">
        <v>9.9435929999999999</v>
      </c>
      <c r="S12" s="10" t="s">
        <v>25</v>
      </c>
      <c r="T12" s="11">
        <f>-0.1627</f>
        <v>-0.16270000000000001</v>
      </c>
      <c r="V12" s="10" t="s">
        <v>25</v>
      </c>
      <c r="W12" s="11">
        <v>1.1279999999999999</v>
      </c>
      <c r="Y12" s="10" t="s">
        <v>25</v>
      </c>
      <c r="Z12" s="11">
        <v>0.85570000000000002</v>
      </c>
    </row>
    <row r="13" spans="2:26" x14ac:dyDescent="0.45">
      <c r="B13" s="14" t="s">
        <v>21</v>
      </c>
      <c r="C13" s="15" t="s">
        <v>13</v>
      </c>
      <c r="D13" s="35">
        <v>0.75515100000000002</v>
      </c>
      <c r="E13" s="15">
        <v>1.7087000000000001E-2</v>
      </c>
      <c r="F13" s="15" t="s">
        <v>12</v>
      </c>
      <c r="G13" s="15">
        <v>15.923693999999999</v>
      </c>
      <c r="H13" s="35">
        <v>15.494300000000001</v>
      </c>
      <c r="I13" s="15" t="s">
        <v>12</v>
      </c>
      <c r="J13" s="35">
        <v>4.7111E-2</v>
      </c>
      <c r="K13" s="15">
        <v>-6.9278999999999993E-2</v>
      </c>
      <c r="L13" s="35">
        <v>-0.68002300000000004</v>
      </c>
      <c r="M13" s="15">
        <v>1</v>
      </c>
      <c r="N13" s="16">
        <v>0.429394</v>
      </c>
      <c r="S13" s="14" t="s">
        <v>26</v>
      </c>
      <c r="T13" s="15">
        <v>-7.2300000000000003E-2</v>
      </c>
      <c r="V13" s="14" t="s">
        <v>26</v>
      </c>
      <c r="W13" s="15">
        <v>0.72060000000000002</v>
      </c>
      <c r="Y13" s="14" t="s">
        <v>26</v>
      </c>
      <c r="Z13" s="15">
        <v>0.93420000000000003</v>
      </c>
    </row>
    <row r="14" spans="2:26" x14ac:dyDescent="0.45">
      <c r="B14" s="14" t="s">
        <v>56</v>
      </c>
      <c r="C14" s="15" t="s">
        <v>20</v>
      </c>
      <c r="D14" s="35">
        <v>0.94259700000000002</v>
      </c>
      <c r="E14" s="15">
        <v>2.7163E-2</v>
      </c>
      <c r="F14" s="15" t="s">
        <v>12</v>
      </c>
      <c r="G14" s="15">
        <v>17.178049999999999</v>
      </c>
      <c r="H14" s="35">
        <v>15.494300000000001</v>
      </c>
      <c r="I14" s="15" t="s">
        <v>12</v>
      </c>
      <c r="J14" s="35">
        <v>0.13022500000000001</v>
      </c>
      <c r="K14" s="15">
        <v>-3.4074E-2</v>
      </c>
      <c r="L14" s="35">
        <v>-3.8218070000000002</v>
      </c>
      <c r="M14" s="15">
        <v>1</v>
      </c>
      <c r="N14" s="16">
        <v>1.6837500000000001</v>
      </c>
      <c r="S14" s="14" t="s">
        <v>27</v>
      </c>
      <c r="T14" s="15">
        <v>0.25600000000000001</v>
      </c>
      <c r="V14" s="14" t="s">
        <v>27</v>
      </c>
      <c r="W14" s="15">
        <v>8.7800000000000003E-2</v>
      </c>
      <c r="Y14" s="14" t="s">
        <v>27</v>
      </c>
      <c r="Z14" s="15">
        <v>0.2394</v>
      </c>
    </row>
    <row r="15" spans="2:26" ht="14.65" thickBot="1" x14ac:dyDescent="0.5">
      <c r="B15" s="17" t="s">
        <v>15</v>
      </c>
      <c r="C15" s="18" t="s">
        <v>13</v>
      </c>
      <c r="D15" s="37">
        <v>0.85282999999999998</v>
      </c>
      <c r="E15" s="18">
        <v>2.7328000000000002E-2</v>
      </c>
      <c r="F15" s="18" t="s">
        <v>12</v>
      </c>
      <c r="G15" s="18">
        <v>15.646011</v>
      </c>
      <c r="H15" s="37">
        <v>15.494300000000001</v>
      </c>
      <c r="I15" s="18" t="s">
        <v>12</v>
      </c>
      <c r="J15" s="37">
        <v>8.5572999999999996E-2</v>
      </c>
      <c r="K15" s="18">
        <v>-0.10408000000000001</v>
      </c>
      <c r="L15" s="37">
        <v>-0.82218400000000003</v>
      </c>
      <c r="M15" s="18">
        <v>1</v>
      </c>
      <c r="N15" s="38">
        <v>0.15171100000000001</v>
      </c>
      <c r="S15" s="14" t="s">
        <v>28</v>
      </c>
      <c r="T15" s="15">
        <v>-4.4299999999999999E-2</v>
      </c>
      <c r="V15" s="14" t="s">
        <v>28</v>
      </c>
      <c r="W15" s="15">
        <v>1.8875999999999999</v>
      </c>
      <c r="Y15" s="14" t="s">
        <v>28</v>
      </c>
      <c r="Z15" s="15">
        <v>0.4763</v>
      </c>
    </row>
    <row r="16" spans="2:26" ht="14.65" thickBot="1" x14ac:dyDescent="0.5"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S16" s="17" t="s">
        <v>38</v>
      </c>
      <c r="T16" s="34">
        <v>4.2900000000000001E-2</v>
      </c>
      <c r="V16" s="17" t="s">
        <v>38</v>
      </c>
      <c r="W16" s="18">
        <v>0.1009</v>
      </c>
      <c r="X16" s="20"/>
      <c r="Y16" s="17" t="s">
        <v>38</v>
      </c>
      <c r="Z16" s="18">
        <v>0.15890000000000001</v>
      </c>
    </row>
    <row r="17" spans="2:28" ht="14.65" thickBot="1" x14ac:dyDescent="0.5"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</row>
    <row r="18" spans="2:28" ht="14.65" thickBot="1" x14ac:dyDescent="0.5"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S18" s="23" t="s">
        <v>32</v>
      </c>
      <c r="T18" s="24"/>
      <c r="V18" s="23" t="s">
        <v>33</v>
      </c>
      <c r="W18" s="24"/>
      <c r="Y18" s="23" t="s">
        <v>34</v>
      </c>
      <c r="Z18" s="24"/>
    </row>
    <row r="19" spans="2:28" x14ac:dyDescent="0.45"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S19" s="10" t="s">
        <v>30</v>
      </c>
      <c r="T19" s="11">
        <v>60</v>
      </c>
      <c r="V19" s="10" t="s">
        <v>30</v>
      </c>
      <c r="W19" s="11">
        <v>44</v>
      </c>
      <c r="X19" s="20"/>
      <c r="Y19" s="10" t="s">
        <v>30</v>
      </c>
      <c r="Z19" s="11">
        <v>62</v>
      </c>
    </row>
    <row r="20" spans="2:28" x14ac:dyDescent="0.45"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S20" s="14" t="s">
        <v>47</v>
      </c>
      <c r="T20" s="15">
        <v>30</v>
      </c>
      <c r="V20" s="14" t="s">
        <v>47</v>
      </c>
      <c r="W20" s="15">
        <v>23</v>
      </c>
      <c r="X20" s="20"/>
      <c r="Y20" s="14" t="s">
        <v>47</v>
      </c>
      <c r="Z20" s="15">
        <v>31</v>
      </c>
    </row>
    <row r="21" spans="2:28" x14ac:dyDescent="0.45"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S21" s="14" t="s">
        <v>48</v>
      </c>
      <c r="T21" s="15">
        <v>60</v>
      </c>
      <c r="V21" s="14" t="s">
        <v>48</v>
      </c>
      <c r="W21" s="15">
        <v>44</v>
      </c>
      <c r="X21" s="20"/>
      <c r="Y21" s="14" t="s">
        <v>48</v>
      </c>
      <c r="Z21" s="15">
        <v>62</v>
      </c>
    </row>
    <row r="22" spans="2:28" x14ac:dyDescent="0.45"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S22" s="14" t="s">
        <v>49</v>
      </c>
      <c r="T22" s="15">
        <v>1771</v>
      </c>
      <c r="V22" s="14" t="s">
        <v>49</v>
      </c>
      <c r="W22" s="15">
        <v>593</v>
      </c>
      <c r="X22" s="20"/>
      <c r="Y22" s="14" t="s">
        <v>49</v>
      </c>
      <c r="Z22" s="15">
        <v>600</v>
      </c>
      <c r="AB22" s="32"/>
    </row>
    <row r="23" spans="2:28" x14ac:dyDescent="0.45"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S23" s="14" t="s">
        <v>31</v>
      </c>
      <c r="T23" s="27">
        <v>17244.400000000001</v>
      </c>
      <c r="V23" s="14" t="s">
        <v>31</v>
      </c>
      <c r="W23" s="27">
        <v>39667.74</v>
      </c>
      <c r="X23" s="20"/>
      <c r="Y23" s="14" t="s">
        <v>31</v>
      </c>
      <c r="Z23" s="27">
        <v>40131.760000000002</v>
      </c>
    </row>
    <row r="24" spans="2:28" x14ac:dyDescent="0.45"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S24" s="14" t="s">
        <v>46</v>
      </c>
      <c r="T24" s="27">
        <v>-21100</v>
      </c>
      <c r="V24" s="14" t="s">
        <v>46</v>
      </c>
      <c r="W24" s="27">
        <v>-28759.599999999999</v>
      </c>
      <c r="X24" s="20"/>
      <c r="Y24" s="14" t="s">
        <v>46</v>
      </c>
      <c r="Z24" s="27">
        <v>-42607.3</v>
      </c>
    </row>
    <row r="25" spans="2:28" x14ac:dyDescent="0.45">
      <c r="S25" s="14" t="s">
        <v>36</v>
      </c>
      <c r="T25" s="29">
        <f>T7-T6</f>
        <v>-118490.03000000003</v>
      </c>
      <c r="V25" s="14" t="s">
        <v>36</v>
      </c>
      <c r="W25" s="27">
        <v>582116</v>
      </c>
      <c r="X25" s="20"/>
      <c r="Y25" s="14" t="s">
        <v>36</v>
      </c>
      <c r="Z25" s="27">
        <v>585169.6</v>
      </c>
    </row>
    <row r="26" spans="2:28" x14ac:dyDescent="0.45">
      <c r="S26" s="14" t="s">
        <v>44</v>
      </c>
      <c r="T26" s="27">
        <v>1956.1</v>
      </c>
      <c r="V26" s="14" t="s">
        <v>44</v>
      </c>
      <c r="W26" s="27">
        <v>1517.54</v>
      </c>
      <c r="X26" s="20"/>
      <c r="Y26" s="14" t="s">
        <v>44</v>
      </c>
      <c r="Z26" s="27">
        <v>2759.51</v>
      </c>
    </row>
    <row r="27" spans="2:28" ht="14.65" thickBot="1" x14ac:dyDescent="0.5">
      <c r="S27" s="17" t="s">
        <v>45</v>
      </c>
      <c r="T27" s="30">
        <v>105488.68</v>
      </c>
      <c r="V27" s="17" t="s">
        <v>45</v>
      </c>
      <c r="W27" s="30">
        <v>118942.9</v>
      </c>
      <c r="X27" s="20"/>
      <c r="Y27" s="17" t="s">
        <v>45</v>
      </c>
      <c r="Z27" s="30">
        <v>181049.3</v>
      </c>
    </row>
  </sheetData>
  <mergeCells count="10">
    <mergeCell ref="S18:T18"/>
    <mergeCell ref="V18:W18"/>
    <mergeCell ref="Y18:Z18"/>
    <mergeCell ref="S5:T5"/>
    <mergeCell ref="V5:W5"/>
    <mergeCell ref="Y5:Z5"/>
    <mergeCell ref="S10:T10"/>
    <mergeCell ref="V10:W10"/>
    <mergeCell ref="Y10:Z10"/>
    <mergeCell ref="B3:N3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MELCHOR SOTO, JOSE ARMANDO</dc:creator>
  <cp:lastModifiedBy>MELCHOR SOTO, JOSE ARMANDO</cp:lastModifiedBy>
  <dcterms:created xsi:type="dcterms:W3CDTF">2025-11-12T00:29:53Z</dcterms:created>
  <dcterms:modified xsi:type="dcterms:W3CDTF">2025-11-16T03:15:16Z</dcterms:modified>
</cp:coreProperties>
</file>